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30168\Documents\Coding\Project_1.2\Personalised-Local-Large-Language-Models\LA_EN\Pre_Post\Outputs\"/>
    </mc:Choice>
  </mc:AlternateContent>
  <xr:revisionPtr revIDLastSave="0" documentId="13_ncr:1_{4A8DE1A9-54A2-4FC2-9543-B35B4D1C004A}" xr6:coauthVersionLast="47" xr6:coauthVersionMax="47" xr10:uidLastSave="{00000000-0000-0000-0000-000000000000}"/>
  <bookViews>
    <workbookView xWindow="28680" yWindow="-120" windowWidth="29040" windowHeight="15720" xr2:uid="{C4FEF676-D3D1-4864-8BF0-13D62A354B57}"/>
  </bookViews>
  <sheets>
    <sheet name="Rejected outputs_EN" sheetId="11" r:id="rId1"/>
    <sheet name="WE_EN" sheetId="12" r:id="rId2"/>
    <sheet name="RS_EN" sheetId="13" r:id="rId3"/>
    <sheet name="SL_EN" sheetId="14" r:id="rId4"/>
    <sheet name="Rejected outputs_EN COMB" sheetId="15" r:id="rId5"/>
    <sheet name="COMB_EN" sheetId="19" r:id="rId6"/>
  </sheets>
  <definedNames>
    <definedName name="ExternalData_1" localSheetId="0" hidden="1">'Rejected outputs_EN'!$A$1:$C$49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5" l="1"/>
  <c r="D4" i="15"/>
  <c r="D6" i="15"/>
  <c r="D8" i="15"/>
  <c r="D10" i="15"/>
  <c r="D3" i="15"/>
  <c r="D5" i="15"/>
  <c r="D7" i="15"/>
  <c r="D9" i="15"/>
  <c r="D11" i="15"/>
  <c r="E18" i="11"/>
  <c r="E13" i="11"/>
  <c r="E2" i="11"/>
  <c r="E34" i="11"/>
  <c r="E25" i="11"/>
  <c r="E35" i="11"/>
  <c r="E29" i="11"/>
  <c r="E19" i="11"/>
  <c r="E40" i="11"/>
  <c r="E8" i="11"/>
  <c r="E3" i="11"/>
  <c r="E41" i="11"/>
  <c r="E42" i="11"/>
  <c r="E31" i="11"/>
  <c r="E10" i="11"/>
  <c r="E33" i="11"/>
  <c r="E46" i="11"/>
  <c r="E48" i="11"/>
  <c r="E36" i="11"/>
  <c r="E14" i="11"/>
  <c r="E20" i="11"/>
  <c r="E30" i="11"/>
  <c r="E37" i="11"/>
  <c r="E44" i="11"/>
  <c r="E45" i="11"/>
  <c r="E47" i="11"/>
  <c r="E49" i="11"/>
  <c r="E4" i="11"/>
  <c r="E5" i="11"/>
  <c r="E9" i="11"/>
  <c r="E12" i="11"/>
  <c r="E15" i="11"/>
  <c r="E16" i="11"/>
  <c r="E17" i="11"/>
  <c r="E21" i="11"/>
  <c r="E24" i="11"/>
  <c r="E27" i="11"/>
  <c r="E28" i="11"/>
  <c r="E32" i="11"/>
  <c r="E43" i="11"/>
  <c r="E39" i="11"/>
  <c r="E38" i="11"/>
  <c r="E11" i="11"/>
  <c r="E6" i="11"/>
  <c r="E7" i="11"/>
  <c r="E22" i="11"/>
  <c r="E23" i="11"/>
  <c r="E2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C191CD-C3E3-488C-A0CD-4FA3FEB13BC8}" keepAlive="1" name="Query - Overview_SL (2)" description="Connection to the 'Overview_SL (2)' query in the workbook." type="5" refreshedVersion="8" background="1" saveData="1">
    <dbPr connection="Provider=Microsoft.Mashup.OleDb.1;Data Source=$Workbook$;Location=&quot;Overview_SL (2)&quot;;Extended Properties=&quot;&quot;" command="SELECT * FROM [Overview_SL (2)]"/>
  </connection>
  <connection id="2" xr16:uid="{B302A7D7-A11A-441E-82E2-073234C217E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F3077552-9D6D-46F4-9182-C90EBB75128C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CCAE8B05-6CBA-450A-A22A-4B0A48F91BE5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<sst xmlns="http://schemas.openxmlformats.org/spreadsheetml/2006/main" count="173" uniqueCount="25">
  <si>
    <t>Task</t>
  </si>
  <si>
    <t>Feature</t>
  </si>
  <si>
    <t>Model</t>
  </si>
  <si>
    <t>SL</t>
  </si>
  <si>
    <t>QG</t>
  </si>
  <si>
    <t>RG</t>
  </si>
  <si>
    <t>RS</t>
  </si>
  <si>
    <t>Source</t>
  </si>
  <si>
    <t xml:space="preserve">QG </t>
  </si>
  <si>
    <t>Qwen2.5 7B</t>
  </si>
  <si>
    <t>Qwen2.5 14B</t>
  </si>
  <si>
    <t>Rejected dev</t>
  </si>
  <si>
    <t># Rejected outputs</t>
  </si>
  <si>
    <t>Qwen2.5_7B</t>
  </si>
  <si>
    <t xml:space="preserve">SL </t>
  </si>
  <si>
    <t>%</t>
  </si>
  <si>
    <t>WE</t>
  </si>
  <si>
    <t>GPT-Oss 20B</t>
  </si>
  <si>
    <t>GPT4.1</t>
  </si>
  <si>
    <t>Mistral large</t>
  </si>
  <si>
    <t>Mistral-small 24B</t>
  </si>
  <si>
    <t>Apertus 8B</t>
  </si>
  <si>
    <t>Falcon 7B</t>
  </si>
  <si>
    <t xml:space="preserve">Mistral large </t>
  </si>
  <si>
    <t>Mistral small 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</si>
</sst>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10">
    <dxf>
      <numFmt numFmtId="13" formatCode="0%"/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28316</xdr:colOff>
      <xdr:row>25</xdr:row>
      <xdr:rowOff>99811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C0CFB-8714-4A16-1EFC-56CB87C7C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03757" cy="45821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55992</xdr:colOff>
      <xdr:row>25</xdr:row>
      <xdr:rowOff>19791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4B2BF-04D0-F2AB-FDEA-9001867E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86610" cy="45021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533568</xdr:colOff>
      <xdr:row>25</xdr:row>
      <xdr:rowOff>27305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0867F-2E9F-07D5-59FE-EEB29C077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49643" cy="4551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421115</xdr:colOff>
      <xdr:row>16</xdr:row>
      <xdr:rowOff>126151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262EA-9CF9-AEB9-7BD6-619A8588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41915" cy="302175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4398013-6CF7-4C9E-A5C5-E48C7A2519EA}" autoFormatId="16" applyNumberFormats="0" applyBorderFormats="0" applyFontFormats="0" applyPatternFormats="0" applyAlignmentFormats="0" applyWidthHeightFormats="0">
  <queryTableRefresh nextId="13" unboundColumnsRight="2">
    <queryTableFields count="5">
      <queryTableField id="1" name="Feature" tableColumnId="1"/>
      <queryTableField id="2" name="Task" tableColumnId="2"/>
      <queryTableField id="3" name="Model" tableColumnId="3"/>
      <queryTableField id="10" dataBound="0" tableColumnId="5"/>
      <queryTableField id="12" dataBound="0" tableColumnId="4"/>
    </queryTableFields>
    <queryTableDeletedFields count="1">
      <deletedField name="Rejec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4582E-ACA1-4049-BA45-1E132F626EEA}" name="Table4_143" displayName="Table4_143" ref="A1:E49" tableType="queryTable" totalsRowShown="0" dataDxfId="9">
  <autoFilter ref="A1:E49" xr:uid="{F0F4582E-ACA1-4049-BA45-1E132F626EEA}"/>
  <sortState xmlns:xlrd2="http://schemas.microsoft.com/office/spreadsheetml/2017/richdata2" ref="A2:E49">
    <sortCondition ref="A1:A49"/>
  </sortState>
  <tableColumns count="5">
    <tableColumn id="1" xr3:uid="{33FFF3C2-2DB1-43C3-B97F-049992BE2798}" uniqueName="1" name="Feature" queryTableFieldId="1" dataDxfId="8"/>
    <tableColumn id="2" xr3:uid="{5AA14D86-678B-4A69-A16D-A49428BCECBF}" uniqueName="2" name="Task" queryTableFieldId="2" dataDxfId="7"/>
    <tableColumn id="3" xr3:uid="{9C26737B-1FE1-4E46-AD9A-5909CF3D332D}" uniqueName="3" name="Model" queryTableFieldId="3" dataDxfId="6"/>
    <tableColumn id="5" xr3:uid="{6FB3E0EC-FAA5-4A56-A5CB-467796F9A292}" uniqueName="5" name="Rejected dev" queryTableFieldId="10" dataDxfId="5"/>
    <tableColumn id="4" xr3:uid="{7A609A97-4592-4822-8617-E6D03B931616}" uniqueName="4" name="%" queryTableFieldId="12" dataDxfId="4">
      <calculatedColumnFormula>SUM(Table4_143[[#This Row],[Rejected dev]]/495)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355375-E74F-447C-B192-6C46F146788E}" name="Table4213" displayName="Table4213" ref="A1:D11" totalsRowShown="0" dataDxfId="3">
  <autoFilter ref="A1:D11" xr:uid="{B67B9DC5-1374-4A97-892C-B0027CA1A31B}"/>
  <sortState xmlns:xlrd2="http://schemas.microsoft.com/office/spreadsheetml/2017/richdata2" ref="A2:D11">
    <sortCondition ref="B1:B11"/>
  </sortState>
  <tableColumns count="4">
    <tableColumn id="1" xr3:uid="{9ECBD54B-B442-4CA8-8771-3D6E67AD2415}" name="Source" dataDxfId="2"/>
    <tableColumn id="2" xr3:uid="{FA3A6DE1-DCCA-4248-AAA4-948F03145C71}" name="Model" dataDxfId="1"/>
    <tableColumn id="7" xr3:uid="{462DA502-3815-4F94-925D-6F981D26A4C8}" name="# Rejected outputs"/>
    <tableColumn id="3" xr3:uid="{E7383607-0832-48BE-8D95-24D540C77E92}" name="%" dataDxfId="0">
      <calculatedColumnFormula>SUM(Table4213[[#This Row],['# Rejected outputs]]/1468)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948D-0C51-478F-9E9A-ED743ABCE540}">
  <dimension ref="A1:E49"/>
  <sheetViews>
    <sheetView tabSelected="1" topLeftCell="A34" zoomScale="130" zoomScaleNormal="130" workbookViewId="0">
      <selection activeCell="D42" sqref="D42"/>
    </sheetView>
  </sheetViews>
  <sheetFormatPr defaultRowHeight="14.4" x14ac:dyDescent="0.3"/>
  <cols>
    <col min="1" max="1" width="9.5546875" bestFit="1" customWidth="1"/>
    <col min="2" max="2" width="7" bestFit="1" customWidth="1"/>
    <col min="3" max="3" width="15.109375" bestFit="1" customWidth="1"/>
    <col min="4" max="4" width="14" bestFit="1" customWidth="1"/>
    <col min="5" max="5" width="4.77734375" style="3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11</v>
      </c>
      <c r="E1" s="3" t="s">
        <v>15</v>
      </c>
    </row>
    <row r="2" spans="1:5" x14ac:dyDescent="0.3">
      <c r="A2" s="1" t="s">
        <v>6</v>
      </c>
      <c r="B2" t="s">
        <v>5</v>
      </c>
      <c r="C2" t="s">
        <v>21</v>
      </c>
      <c r="D2">
        <v>117</v>
      </c>
      <c r="E2" s="3">
        <f>SUM(Table4_143[[#This Row],[Rejected dev]]/495)</f>
        <v>0.23636363636363636</v>
      </c>
    </row>
    <row r="3" spans="1:5" x14ac:dyDescent="0.3">
      <c r="A3" s="1" t="s">
        <v>6</v>
      </c>
      <c r="B3" t="s">
        <v>4</v>
      </c>
      <c r="C3" t="s">
        <v>21</v>
      </c>
      <c r="D3">
        <v>29</v>
      </c>
      <c r="E3" s="3">
        <f>SUM(Table4_143[[#This Row],[Rejected dev]]/495)</f>
        <v>5.8585858585858588E-2</v>
      </c>
    </row>
    <row r="4" spans="1:5" x14ac:dyDescent="0.3">
      <c r="A4" s="1" t="s">
        <v>6</v>
      </c>
      <c r="B4" t="s">
        <v>4</v>
      </c>
      <c r="C4" t="s">
        <v>22</v>
      </c>
      <c r="D4">
        <v>13</v>
      </c>
      <c r="E4" s="3">
        <f>SUM(Table4_143[[#This Row],[Rejected dev]]/495)</f>
        <v>2.6262626262626262E-2</v>
      </c>
    </row>
    <row r="5" spans="1:5" x14ac:dyDescent="0.3">
      <c r="A5" s="1" t="s">
        <v>6</v>
      </c>
      <c r="B5" t="s">
        <v>5</v>
      </c>
      <c r="C5" t="s">
        <v>22</v>
      </c>
      <c r="D5">
        <v>6</v>
      </c>
      <c r="E5" s="3">
        <f>SUM(Table4_143[[#This Row],[Rejected dev]]/495)</f>
        <v>1.2121212121212121E-2</v>
      </c>
    </row>
    <row r="6" spans="1:5" x14ac:dyDescent="0.3">
      <c r="A6" s="1" t="s">
        <v>6</v>
      </c>
      <c r="B6" t="s">
        <v>5</v>
      </c>
      <c r="C6" t="s">
        <v>18</v>
      </c>
      <c r="D6">
        <v>0</v>
      </c>
      <c r="E6" s="3">
        <f>SUM(Table4_143[[#This Row],[Rejected dev]]/495)</f>
        <v>0</v>
      </c>
    </row>
    <row r="7" spans="1:5" x14ac:dyDescent="0.3">
      <c r="A7" s="1" t="s">
        <v>6</v>
      </c>
      <c r="B7" t="s">
        <v>4</v>
      </c>
      <c r="C7" t="s">
        <v>18</v>
      </c>
      <c r="D7">
        <v>0</v>
      </c>
      <c r="E7" s="3">
        <f>SUM(Table4_143[[#This Row],[Rejected dev]]/495)</f>
        <v>0</v>
      </c>
    </row>
    <row r="8" spans="1:5" x14ac:dyDescent="0.3">
      <c r="A8" s="1" t="s">
        <v>6</v>
      </c>
      <c r="B8" t="s">
        <v>5</v>
      </c>
      <c r="C8" t="s">
        <v>17</v>
      </c>
      <c r="D8">
        <v>14</v>
      </c>
      <c r="E8" s="3">
        <f>SUM(Table4_143[[#This Row],[Rejected dev]]/495)</f>
        <v>2.8282828282828285E-2</v>
      </c>
    </row>
    <row r="9" spans="1:5" x14ac:dyDescent="0.3">
      <c r="A9" s="1" t="s">
        <v>6</v>
      </c>
      <c r="B9" t="s">
        <v>4</v>
      </c>
      <c r="C9" t="s">
        <v>17</v>
      </c>
      <c r="D9">
        <v>0</v>
      </c>
      <c r="E9" s="3">
        <f>SUM(Table4_143[[#This Row],[Rejected dev]]/495)</f>
        <v>0</v>
      </c>
    </row>
    <row r="10" spans="1:5" x14ac:dyDescent="0.3">
      <c r="A10" s="1" t="s">
        <v>6</v>
      </c>
      <c r="B10" t="s">
        <v>5</v>
      </c>
      <c r="C10" t="s">
        <v>23</v>
      </c>
      <c r="D10">
        <v>0</v>
      </c>
      <c r="E10" s="3">
        <f>SUM(Table4_143[[#This Row],[Rejected dev]]/495)</f>
        <v>0</v>
      </c>
    </row>
    <row r="11" spans="1:5" x14ac:dyDescent="0.3">
      <c r="A11" s="1" t="s">
        <v>6</v>
      </c>
      <c r="B11" t="s">
        <v>4</v>
      </c>
      <c r="C11" t="s">
        <v>23</v>
      </c>
      <c r="D11">
        <v>0</v>
      </c>
      <c r="E11" s="3">
        <f>SUM(Table4_143[[#This Row],[Rejected dev]]/495)</f>
        <v>0</v>
      </c>
    </row>
    <row r="12" spans="1:5" x14ac:dyDescent="0.3">
      <c r="A12" s="1" t="s">
        <v>6</v>
      </c>
      <c r="B12" t="s">
        <v>4</v>
      </c>
      <c r="C12" t="s">
        <v>24</v>
      </c>
      <c r="D12">
        <v>0</v>
      </c>
      <c r="E12" s="3">
        <f>SUM(Table4_143[[#This Row],[Rejected dev]]/495)</f>
        <v>0</v>
      </c>
    </row>
    <row r="13" spans="1:5" x14ac:dyDescent="0.3">
      <c r="A13" s="1" t="s">
        <v>6</v>
      </c>
      <c r="B13" t="s">
        <v>5</v>
      </c>
      <c r="C13" t="s">
        <v>24</v>
      </c>
      <c r="D13">
        <v>0</v>
      </c>
      <c r="E13" s="3">
        <f>SUM(Table4_143[[#This Row],[Rejected dev]]/495)</f>
        <v>0</v>
      </c>
    </row>
    <row r="14" spans="1:5" x14ac:dyDescent="0.3">
      <c r="A14" s="1" t="s">
        <v>6</v>
      </c>
      <c r="B14" t="s">
        <v>5</v>
      </c>
      <c r="C14" t="s">
        <v>10</v>
      </c>
      <c r="D14">
        <v>6</v>
      </c>
      <c r="E14" s="3">
        <f>SUM(Table4_143[[#This Row],[Rejected dev]]/495)</f>
        <v>1.2121212121212121E-2</v>
      </c>
    </row>
    <row r="15" spans="1:5" x14ac:dyDescent="0.3">
      <c r="A15" s="1" t="s">
        <v>6</v>
      </c>
      <c r="B15" t="s">
        <v>4</v>
      </c>
      <c r="C15" t="s">
        <v>10</v>
      </c>
      <c r="D15">
        <v>3</v>
      </c>
      <c r="E15" s="3">
        <f>SUM(Table4_143[[#This Row],[Rejected dev]]/495)</f>
        <v>6.0606060606060606E-3</v>
      </c>
    </row>
    <row r="16" spans="1:5" x14ac:dyDescent="0.3">
      <c r="A16" s="1" t="s">
        <v>6</v>
      </c>
      <c r="B16" t="s">
        <v>5</v>
      </c>
      <c r="C16" t="s">
        <v>9</v>
      </c>
      <c r="D16">
        <v>2</v>
      </c>
      <c r="E16" s="3">
        <f>SUM(Table4_143[[#This Row],[Rejected dev]]/495)</f>
        <v>4.0404040404040404E-3</v>
      </c>
    </row>
    <row r="17" spans="1:5" x14ac:dyDescent="0.3">
      <c r="A17" s="1" t="s">
        <v>6</v>
      </c>
      <c r="B17" t="s">
        <v>4</v>
      </c>
      <c r="C17" t="s">
        <v>9</v>
      </c>
      <c r="D17">
        <v>0</v>
      </c>
      <c r="E17" s="3">
        <f>SUM(Table4_143[[#This Row],[Rejected dev]]/495)</f>
        <v>0</v>
      </c>
    </row>
    <row r="18" spans="1:5" x14ac:dyDescent="0.3">
      <c r="A18" s="2" t="s">
        <v>3</v>
      </c>
      <c r="B18" t="s">
        <v>5</v>
      </c>
      <c r="C18" t="s">
        <v>21</v>
      </c>
      <c r="D18">
        <v>221</v>
      </c>
      <c r="E18" s="3">
        <f>SUM(Table4_143[[#This Row],[Rejected dev]]/495)</f>
        <v>0.44646464646464645</v>
      </c>
    </row>
    <row r="19" spans="1:5" x14ac:dyDescent="0.3">
      <c r="A19" s="2" t="s">
        <v>3</v>
      </c>
      <c r="B19" t="s">
        <v>4</v>
      </c>
      <c r="C19" t="s">
        <v>21</v>
      </c>
      <c r="D19">
        <v>37</v>
      </c>
      <c r="E19" s="3">
        <f>SUM(Table4_143[[#This Row],[Rejected dev]]/495)</f>
        <v>7.4747474747474743E-2</v>
      </c>
    </row>
    <row r="20" spans="1:5" x14ac:dyDescent="0.3">
      <c r="A20" s="2" t="s">
        <v>3</v>
      </c>
      <c r="B20" t="s">
        <v>5</v>
      </c>
      <c r="C20" t="s">
        <v>22</v>
      </c>
      <c r="D20">
        <v>20</v>
      </c>
      <c r="E20" s="3">
        <f>SUM(Table4_143[[#This Row],[Rejected dev]]/495)</f>
        <v>4.0404040404040407E-2</v>
      </c>
    </row>
    <row r="21" spans="1:5" x14ac:dyDescent="0.3">
      <c r="A21" s="2" t="s">
        <v>3</v>
      </c>
      <c r="B21" t="s">
        <v>4</v>
      </c>
      <c r="C21" t="s">
        <v>22</v>
      </c>
      <c r="D21">
        <v>17</v>
      </c>
      <c r="E21" s="3">
        <f>SUM(Table4_143[[#This Row],[Rejected dev]]/495)</f>
        <v>3.4343434343434343E-2</v>
      </c>
    </row>
    <row r="22" spans="1:5" x14ac:dyDescent="0.3">
      <c r="A22" s="2" t="s">
        <v>3</v>
      </c>
      <c r="B22" t="s">
        <v>4</v>
      </c>
      <c r="C22" t="s">
        <v>18</v>
      </c>
      <c r="D22">
        <v>0</v>
      </c>
      <c r="E22" s="3">
        <f>SUM(Table4_143[[#This Row],[Rejected dev]]/495)</f>
        <v>0</v>
      </c>
    </row>
    <row r="23" spans="1:5" x14ac:dyDescent="0.3">
      <c r="A23" s="2" t="s">
        <v>3</v>
      </c>
      <c r="B23" t="s">
        <v>5</v>
      </c>
      <c r="C23" t="s">
        <v>18</v>
      </c>
      <c r="D23">
        <v>0</v>
      </c>
      <c r="E23" s="3">
        <f>SUM(Table4_143[[#This Row],[Rejected dev]]/495)</f>
        <v>0</v>
      </c>
    </row>
    <row r="24" spans="1:5" x14ac:dyDescent="0.3">
      <c r="A24" s="2" t="s">
        <v>3</v>
      </c>
      <c r="B24" t="s">
        <v>4</v>
      </c>
      <c r="C24" t="s">
        <v>17</v>
      </c>
      <c r="D24">
        <v>0</v>
      </c>
      <c r="E24" s="3">
        <f>SUM(Table4_143[[#This Row],[Rejected dev]]/495)</f>
        <v>0</v>
      </c>
    </row>
    <row r="25" spans="1:5" x14ac:dyDescent="0.3">
      <c r="A25" s="2" t="s">
        <v>3</v>
      </c>
      <c r="B25" t="s">
        <v>5</v>
      </c>
      <c r="C25" t="s">
        <v>17</v>
      </c>
      <c r="D25">
        <v>113</v>
      </c>
      <c r="E25" s="3">
        <f>SUM(Table4_143[[#This Row],[Rejected dev]]/495)</f>
        <v>0.22828282828282828</v>
      </c>
    </row>
    <row r="26" spans="1:5" x14ac:dyDescent="0.3">
      <c r="A26" s="2" t="s">
        <v>3</v>
      </c>
      <c r="B26" t="s">
        <v>4</v>
      </c>
      <c r="C26" t="s">
        <v>23</v>
      </c>
      <c r="D26">
        <v>0</v>
      </c>
      <c r="E26" s="3">
        <f>SUM(Table4_143[[#This Row],[Rejected dev]]/495)</f>
        <v>0</v>
      </c>
    </row>
    <row r="27" spans="1:5" x14ac:dyDescent="0.3">
      <c r="A27" s="2" t="s">
        <v>3</v>
      </c>
      <c r="B27" t="s">
        <v>5</v>
      </c>
      <c r="C27" t="s">
        <v>24</v>
      </c>
      <c r="D27">
        <v>0</v>
      </c>
      <c r="E27" s="3">
        <f>SUM(Table4_143[[#This Row],[Rejected dev]]/495)</f>
        <v>0</v>
      </c>
    </row>
    <row r="28" spans="1:5" x14ac:dyDescent="0.3">
      <c r="A28" s="2" t="s">
        <v>3</v>
      </c>
      <c r="B28" t="s">
        <v>4</v>
      </c>
      <c r="C28" t="s">
        <v>24</v>
      </c>
      <c r="D28">
        <v>0</v>
      </c>
      <c r="E28" s="3">
        <f>SUM(Table4_143[[#This Row],[Rejected dev]]/495)</f>
        <v>0</v>
      </c>
    </row>
    <row r="29" spans="1:5" x14ac:dyDescent="0.3">
      <c r="A29" s="2" t="s">
        <v>3</v>
      </c>
      <c r="B29" t="s">
        <v>5</v>
      </c>
      <c r="C29" t="s">
        <v>10</v>
      </c>
      <c r="D29">
        <v>114</v>
      </c>
      <c r="E29" s="3">
        <f>SUM(Table4_143[[#This Row],[Rejected dev]]/495)</f>
        <v>0.23030303030303031</v>
      </c>
    </row>
    <row r="30" spans="1:5" x14ac:dyDescent="0.3">
      <c r="A30" s="2" t="s">
        <v>3</v>
      </c>
      <c r="B30" t="s">
        <v>4</v>
      </c>
      <c r="C30" t="s">
        <v>10</v>
      </c>
      <c r="D30">
        <v>1</v>
      </c>
      <c r="E30" s="3">
        <f>SUM(Table4_143[[#This Row],[Rejected dev]]/495)</f>
        <v>2.0202020202020202E-3</v>
      </c>
    </row>
    <row r="31" spans="1:5" x14ac:dyDescent="0.3">
      <c r="A31" s="2" t="s">
        <v>3</v>
      </c>
      <c r="B31" t="s">
        <v>5</v>
      </c>
      <c r="C31" t="s">
        <v>9</v>
      </c>
      <c r="D31">
        <v>10</v>
      </c>
      <c r="E31" s="3">
        <f>SUM(Table4_143[[#This Row],[Rejected dev]]/495)</f>
        <v>2.0202020202020204E-2</v>
      </c>
    </row>
    <row r="32" spans="1:5" x14ac:dyDescent="0.3">
      <c r="A32" s="2" t="s">
        <v>3</v>
      </c>
      <c r="B32" t="s">
        <v>4</v>
      </c>
      <c r="C32" t="s">
        <v>9</v>
      </c>
      <c r="D32">
        <v>0</v>
      </c>
      <c r="E32" s="3">
        <f>SUM(Table4_143[[#This Row],[Rejected dev]]/495)</f>
        <v>0</v>
      </c>
    </row>
    <row r="33" spans="1:5" x14ac:dyDescent="0.3">
      <c r="A33" s="2" t="s">
        <v>14</v>
      </c>
      <c r="B33" t="s">
        <v>5</v>
      </c>
      <c r="C33" t="s">
        <v>23</v>
      </c>
      <c r="D33">
        <v>0</v>
      </c>
      <c r="E33" s="3">
        <f>SUM(Table4_143[[#This Row],[Rejected dev]]/495)</f>
        <v>0</v>
      </c>
    </row>
    <row r="34" spans="1:5" x14ac:dyDescent="0.3">
      <c r="A34" t="s">
        <v>16</v>
      </c>
      <c r="B34" t="s">
        <v>5</v>
      </c>
      <c r="C34" t="s">
        <v>21</v>
      </c>
      <c r="D34">
        <v>134</v>
      </c>
      <c r="E34" s="3">
        <f>SUM(Table4_143[[#This Row],[Rejected dev]]/495)</f>
        <v>0.27070707070707073</v>
      </c>
    </row>
    <row r="35" spans="1:5" x14ac:dyDescent="0.3">
      <c r="A35" t="s">
        <v>16</v>
      </c>
      <c r="B35" t="s">
        <v>4</v>
      </c>
      <c r="C35" t="s">
        <v>21</v>
      </c>
      <c r="D35">
        <v>60</v>
      </c>
      <c r="E35" s="3">
        <f>SUM(Table4_143[[#This Row],[Rejected dev]]/495)</f>
        <v>0.12121212121212122</v>
      </c>
    </row>
    <row r="36" spans="1:5" x14ac:dyDescent="0.3">
      <c r="A36" t="s">
        <v>16</v>
      </c>
      <c r="B36" t="s">
        <v>4</v>
      </c>
      <c r="C36" t="s">
        <v>22</v>
      </c>
      <c r="D36">
        <v>16</v>
      </c>
      <c r="E36" s="3">
        <f>SUM(Table4_143[[#This Row],[Rejected dev]]/495)</f>
        <v>3.2323232323232323E-2</v>
      </c>
    </row>
    <row r="37" spans="1:5" x14ac:dyDescent="0.3">
      <c r="A37" t="s">
        <v>16</v>
      </c>
      <c r="B37" t="s">
        <v>5</v>
      </c>
      <c r="C37" t="s">
        <v>22</v>
      </c>
      <c r="D37">
        <v>8</v>
      </c>
      <c r="E37" s="3">
        <f>SUM(Table4_143[[#This Row],[Rejected dev]]/495)</f>
        <v>1.6161616161616162E-2</v>
      </c>
    </row>
    <row r="38" spans="1:5" x14ac:dyDescent="0.3">
      <c r="A38" t="s">
        <v>16</v>
      </c>
      <c r="B38" t="s">
        <v>8</v>
      </c>
      <c r="C38" t="s">
        <v>18</v>
      </c>
      <c r="D38">
        <v>0</v>
      </c>
      <c r="E38" s="3">
        <f>SUM(Table4_143[[#This Row],[Rejected dev]]/495)</f>
        <v>0</v>
      </c>
    </row>
    <row r="39" spans="1:5" x14ac:dyDescent="0.3">
      <c r="A39" t="s">
        <v>16</v>
      </c>
      <c r="B39" t="s">
        <v>5</v>
      </c>
      <c r="C39" t="s">
        <v>18</v>
      </c>
      <c r="D39">
        <v>0</v>
      </c>
      <c r="E39" s="3">
        <f>SUM(Table4_143[[#This Row],[Rejected dev]]/495)</f>
        <v>0</v>
      </c>
    </row>
    <row r="40" spans="1:5" x14ac:dyDescent="0.3">
      <c r="A40" t="s">
        <v>16</v>
      </c>
      <c r="B40" t="s">
        <v>4</v>
      </c>
      <c r="C40" t="s">
        <v>17</v>
      </c>
      <c r="D40">
        <v>6</v>
      </c>
      <c r="E40" s="3">
        <f>SUM(Table4_143[[#This Row],[Rejected dev]]/495)</f>
        <v>1.2121212121212121E-2</v>
      </c>
    </row>
    <row r="41" spans="1:5" x14ac:dyDescent="0.3">
      <c r="A41" t="s">
        <v>16</v>
      </c>
      <c r="B41" t="s">
        <v>5</v>
      </c>
      <c r="C41" t="s">
        <v>17</v>
      </c>
      <c r="D41">
        <v>20</v>
      </c>
      <c r="E41" s="3">
        <f>SUM(Table4_143[[#This Row],[Rejected dev]]/495)</f>
        <v>4.0404040404040407E-2</v>
      </c>
    </row>
    <row r="42" spans="1:5" x14ac:dyDescent="0.3">
      <c r="A42" t="s">
        <v>16</v>
      </c>
      <c r="B42" t="s">
        <v>5</v>
      </c>
      <c r="C42" t="s">
        <v>23</v>
      </c>
      <c r="D42">
        <v>0</v>
      </c>
      <c r="E42" s="3">
        <f>SUM(Table4_143[[#This Row],[Rejected dev]]/495)</f>
        <v>0</v>
      </c>
    </row>
    <row r="43" spans="1:5" x14ac:dyDescent="0.3">
      <c r="A43" t="s">
        <v>16</v>
      </c>
      <c r="B43" t="s">
        <v>4</v>
      </c>
      <c r="C43" t="s">
        <v>23</v>
      </c>
      <c r="D43">
        <v>0</v>
      </c>
      <c r="E43" s="3">
        <f>SUM(Table4_143[[#This Row],[Rejected dev]]/495)</f>
        <v>0</v>
      </c>
    </row>
    <row r="44" spans="1:5" x14ac:dyDescent="0.3">
      <c r="A44" t="s">
        <v>16</v>
      </c>
      <c r="B44" t="s">
        <v>4</v>
      </c>
      <c r="C44" t="s">
        <v>24</v>
      </c>
      <c r="D44">
        <v>0</v>
      </c>
      <c r="E44" s="3">
        <f>SUM(Table4_143[[#This Row],[Rejected dev]]/495)</f>
        <v>0</v>
      </c>
    </row>
    <row r="45" spans="1:5" x14ac:dyDescent="0.3">
      <c r="A45" t="s">
        <v>16</v>
      </c>
      <c r="B45" t="s">
        <v>5</v>
      </c>
      <c r="C45" t="s">
        <v>24</v>
      </c>
      <c r="D45">
        <v>0</v>
      </c>
      <c r="E45" s="3">
        <f>SUM(Table4_143[[#This Row],[Rejected dev]]/495)</f>
        <v>0</v>
      </c>
    </row>
    <row r="46" spans="1:5" x14ac:dyDescent="0.3">
      <c r="A46" t="s">
        <v>16</v>
      </c>
      <c r="B46" t="s">
        <v>5</v>
      </c>
      <c r="C46" t="s">
        <v>10</v>
      </c>
      <c r="D46">
        <v>1</v>
      </c>
      <c r="E46" s="3">
        <f>SUM(Table4_143[[#This Row],[Rejected dev]]/495)</f>
        <v>2.0202020202020202E-3</v>
      </c>
    </row>
    <row r="47" spans="1:5" x14ac:dyDescent="0.3">
      <c r="A47" t="s">
        <v>16</v>
      </c>
      <c r="B47" t="s">
        <v>4</v>
      </c>
      <c r="C47" t="s">
        <v>10</v>
      </c>
      <c r="D47">
        <v>1</v>
      </c>
      <c r="E47" s="3">
        <f>SUM(Table4_143[[#This Row],[Rejected dev]]/495)</f>
        <v>2.0202020202020202E-3</v>
      </c>
    </row>
    <row r="48" spans="1:5" x14ac:dyDescent="0.3">
      <c r="A48" t="s">
        <v>16</v>
      </c>
      <c r="B48" t="s">
        <v>5</v>
      </c>
      <c r="C48" t="s">
        <v>9</v>
      </c>
      <c r="D48">
        <v>2</v>
      </c>
      <c r="E48" s="3">
        <f>SUM(Table4_143[[#This Row],[Rejected dev]]/495)</f>
        <v>4.0404040404040404E-3</v>
      </c>
    </row>
    <row r="49" spans="1:5" x14ac:dyDescent="0.3">
      <c r="A49" t="s">
        <v>16</v>
      </c>
      <c r="B49" t="s">
        <v>4</v>
      </c>
      <c r="C49" t="s">
        <v>9</v>
      </c>
      <c r="D49">
        <v>0</v>
      </c>
      <c r="E49" s="3">
        <f>SUM(Table4_143[[#This Row],[Rejected dev]]/495)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01FE-2C45-4965-82D7-BD62C63AE533}">
  <dimension ref="A1"/>
  <sheetViews>
    <sheetView zoomScale="85" zoomScaleNormal="85" workbookViewId="0"/>
  </sheetViews>
  <sheetFormatPr defaultRowHeight="14.4" x14ac:dyDescent="0.3"/>
  <cols>
    <col min="1" max="1" width="7.88671875" customWidth="1"/>
    <col min="2" max="2" width="16.77734375" bestFit="1" customWidth="1"/>
    <col min="3" max="3" width="28.21875" customWidth="1"/>
    <col min="4" max="4" width="29.5546875" customWidth="1"/>
    <col min="5" max="5" width="26.109375" customWidth="1"/>
    <col min="6" max="6" width="27.5546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EAC4-F67A-4972-9862-2B5C301A5870}">
  <dimension ref="A1"/>
  <sheetViews>
    <sheetView zoomScale="85" zoomScaleNormal="85" workbookViewId="0">
      <selection activeCell="D27" sqref="D27"/>
    </sheetView>
  </sheetViews>
  <sheetFormatPr defaultRowHeight="14.4" x14ac:dyDescent="0.3"/>
  <cols>
    <col min="1" max="1" width="9.33203125" bestFit="1" customWidth="1"/>
    <col min="2" max="2" width="12.44140625" bestFit="1" customWidth="1"/>
    <col min="3" max="3" width="30.77734375" bestFit="1" customWidth="1"/>
    <col min="4" max="4" width="32.33203125" bestFit="1" customWidth="1"/>
    <col min="5" max="5" width="28.88671875" bestFit="1" customWidth="1"/>
    <col min="6" max="6" width="30.2187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F62B-59C4-475E-BDD5-E6124B1C7900}">
  <dimension ref="A1"/>
  <sheetViews>
    <sheetView zoomScaleNormal="100" workbookViewId="0">
      <selection activeCell="H20" sqref="A1:H20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31.5546875" bestFit="1" customWidth="1"/>
    <col min="4" max="4" width="32.77734375" bestFit="1" customWidth="1"/>
    <col min="5" max="5" width="29.109375" bestFit="1" customWidth="1"/>
    <col min="6" max="6" width="30.441406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D4B5-1E42-4B26-A2E4-432E0845CAA8}">
  <dimension ref="A1:D11"/>
  <sheetViews>
    <sheetView zoomScale="130" zoomScaleNormal="130" workbookViewId="0">
      <selection activeCell="F22" sqref="F22"/>
    </sheetView>
  </sheetViews>
  <sheetFormatPr defaultRowHeight="14.4" x14ac:dyDescent="0.3"/>
  <cols>
    <col min="1" max="1" width="9" bestFit="1" customWidth="1"/>
    <col min="2" max="2" width="16.77734375" bestFit="1" customWidth="1"/>
    <col min="3" max="3" width="19.44140625" customWidth="1"/>
    <col min="4" max="4" width="8.88671875" style="3"/>
  </cols>
  <sheetData>
    <row r="1" spans="1:4" x14ac:dyDescent="0.3">
      <c r="A1" t="s">
        <v>7</v>
      </c>
      <c r="B1" t="s">
        <v>2</v>
      </c>
      <c r="C1" t="s">
        <v>12</v>
      </c>
      <c r="D1" s="3" t="s">
        <v>15</v>
      </c>
    </row>
    <row r="2" spans="1:4" x14ac:dyDescent="0.3">
      <c r="A2" t="s">
        <v>4</v>
      </c>
      <c r="B2" t="s">
        <v>18</v>
      </c>
      <c r="C2">
        <v>0</v>
      </c>
      <c r="D2" s="3">
        <f>SUM(Table4213[[#This Row],['# Rejected outputs]]/1468)</f>
        <v>0</v>
      </c>
    </row>
    <row r="3" spans="1:4" x14ac:dyDescent="0.3">
      <c r="A3" t="s">
        <v>5</v>
      </c>
      <c r="B3" t="s">
        <v>18</v>
      </c>
      <c r="C3">
        <v>0</v>
      </c>
      <c r="D3" s="3">
        <f>SUM(Table4213[[#This Row],['# Rejected outputs]]/1468)</f>
        <v>0</v>
      </c>
    </row>
    <row r="4" spans="1:4" x14ac:dyDescent="0.3">
      <c r="A4" t="s">
        <v>4</v>
      </c>
      <c r="B4" t="s">
        <v>17</v>
      </c>
      <c r="C4">
        <v>1</v>
      </c>
      <c r="D4" s="3">
        <f>SUM(Table4213[[#This Row],['# Rejected outputs]]/1468)</f>
        <v>6.8119891008174384E-4</v>
      </c>
    </row>
    <row r="5" spans="1:4" x14ac:dyDescent="0.3">
      <c r="A5" t="s">
        <v>5</v>
      </c>
      <c r="B5" t="s">
        <v>17</v>
      </c>
      <c r="C5">
        <v>418</v>
      </c>
      <c r="D5" s="3">
        <f>SUM(Table4213[[#This Row],['# Rejected outputs]]/1468)</f>
        <v>0.28474114441416892</v>
      </c>
    </row>
    <row r="6" spans="1:4" x14ac:dyDescent="0.3">
      <c r="A6" t="s">
        <v>4</v>
      </c>
      <c r="B6" t="s">
        <v>19</v>
      </c>
      <c r="C6">
        <v>0</v>
      </c>
      <c r="D6" s="3">
        <f>SUM(Table4213[[#This Row],['# Rejected outputs]]/1468)</f>
        <v>0</v>
      </c>
    </row>
    <row r="7" spans="1:4" x14ac:dyDescent="0.3">
      <c r="A7" t="s">
        <v>5</v>
      </c>
      <c r="B7" t="s">
        <v>19</v>
      </c>
      <c r="C7">
        <v>98</v>
      </c>
      <c r="D7" s="3">
        <f>SUM(Table4213[[#This Row],['# Rejected outputs]]/1468)</f>
        <v>6.67574931880109E-2</v>
      </c>
    </row>
    <row r="8" spans="1:4" x14ac:dyDescent="0.3">
      <c r="A8" t="s">
        <v>4</v>
      </c>
      <c r="B8" t="s">
        <v>20</v>
      </c>
      <c r="C8">
        <v>0</v>
      </c>
      <c r="D8" s="3">
        <f>SUM(Table4213[[#This Row],['# Rejected outputs]]/1468)</f>
        <v>0</v>
      </c>
    </row>
    <row r="9" spans="1:4" x14ac:dyDescent="0.3">
      <c r="A9" t="s">
        <v>5</v>
      </c>
      <c r="B9" t="s">
        <v>20</v>
      </c>
      <c r="C9">
        <v>0</v>
      </c>
      <c r="D9" s="3">
        <f>SUM(Table4213[[#This Row],['# Rejected outputs]]/1468)</f>
        <v>0</v>
      </c>
    </row>
    <row r="10" spans="1:4" x14ac:dyDescent="0.3">
      <c r="A10" t="s">
        <v>4</v>
      </c>
      <c r="B10" t="s">
        <v>13</v>
      </c>
      <c r="C10">
        <v>0</v>
      </c>
      <c r="D10" s="3">
        <f>SUM(Table4213[[#This Row],['# Rejected outputs]]/1468)</f>
        <v>0</v>
      </c>
    </row>
    <row r="11" spans="1:4" x14ac:dyDescent="0.3">
      <c r="A11" t="s">
        <v>5</v>
      </c>
      <c r="B11" t="s">
        <v>13</v>
      </c>
      <c r="C11">
        <v>7</v>
      </c>
      <c r="D11" s="3">
        <f>SUM(Table4213[[#This Row],['# Rejected outputs]]/1468)</f>
        <v>4.7683923705722072E-3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FBD4-0566-43B6-8E67-383988256550}">
  <dimension ref="A1"/>
  <sheetViews>
    <sheetView workbookViewId="0">
      <selection activeCell="L7" sqref="L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DBE8EF-B09C-45C2-8D60-45A70EF7B8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Rejected outputs_EN</vt:lpstr>
      <vt:lpstr>WE_EN</vt:lpstr>
      <vt:lpstr>RS_EN</vt:lpstr>
      <vt:lpstr>SL_EN</vt:lpstr>
      <vt:lpstr>Rejected outputs_EN COMB</vt:lpstr>
      <vt:lpstr>COMB_EN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Schaaij, K. (Keara)</dc:creator>
  <cp:lastModifiedBy>Schaaij, K. (Keara)</cp:lastModifiedBy>
  <dcterms:created xsi:type="dcterms:W3CDTF">2025-10-06T12:31:31Z</dcterms:created>
  <dcterms:modified xsi:type="dcterms:W3CDTF">2026-10-21T10:07:45Z</dcterms:modified>
</cp:coreProperties>
</file>