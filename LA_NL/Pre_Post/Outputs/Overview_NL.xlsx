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730168\Documents\Coding\Project_1.2\Personalised-Local-Large-Language-Models\LA_NL\Pre_Post\Outputs\"/>
    </mc:Choice>
  </mc:AlternateContent>
  <xr:revisionPtr revIDLastSave="0" documentId="13_ncr:1_{1E2C75DC-2022-4DF5-9D3D-8B0D4E0B1FE4}" xr6:coauthVersionLast="47" xr6:coauthVersionMax="47" xr10:uidLastSave="{00000000-0000-0000-0000-000000000000}"/>
  <bookViews>
    <workbookView xWindow="28680" yWindow="-120" windowWidth="29040" windowHeight="15720" activeTab="5" xr2:uid="{C4FEF676-D3D1-4864-8BF0-13D62A354B57}"/>
  </bookViews>
  <sheets>
    <sheet name="Rejected outputs_NL" sheetId="3" r:id="rId1"/>
    <sheet name="SL_NL" sheetId="4" r:id="rId2"/>
    <sheet name="RS_NL" sheetId="5" r:id="rId3"/>
    <sheet name="WE_NL" sheetId="6" r:id="rId4"/>
    <sheet name="Rejected outputs_NL COMB" sheetId="9" r:id="rId5"/>
    <sheet name="COMB_NL" sheetId="19" r:id="rId6"/>
  </sheets>
  <definedNames>
    <definedName name="ExternalData_1" localSheetId="0" hidden="1">'Rejected outputs_NL'!$A$1:$C$55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9" l="1"/>
  <c r="D3" i="9"/>
  <c r="D4" i="9"/>
  <c r="D5" i="9"/>
  <c r="D6" i="9"/>
  <c r="D7" i="9"/>
  <c r="D8" i="9"/>
  <c r="D9" i="9"/>
  <c r="D10" i="9"/>
  <c r="D11" i="9"/>
  <c r="E2" i="3"/>
  <c r="E3" i="3"/>
  <c r="E20" i="3"/>
  <c r="E21" i="3"/>
  <c r="E38" i="3"/>
  <c r="E39" i="3"/>
  <c r="E5" i="3"/>
  <c r="E4" i="3"/>
  <c r="E22" i="3"/>
  <c r="E23" i="3"/>
  <c r="E40" i="3"/>
  <c r="E41" i="3"/>
  <c r="E6" i="3"/>
  <c r="E7" i="3"/>
  <c r="E24" i="3"/>
  <c r="E25" i="3"/>
  <c r="E42" i="3"/>
  <c r="E43" i="3"/>
  <c r="E8" i="3"/>
  <c r="E9" i="3"/>
  <c r="E26" i="3"/>
  <c r="E27" i="3"/>
  <c r="E44" i="3"/>
  <c r="E45" i="3"/>
  <c r="E10" i="3"/>
  <c r="E11" i="3"/>
  <c r="E28" i="3"/>
  <c r="E29" i="3"/>
  <c r="E46" i="3"/>
  <c r="E47" i="3"/>
  <c r="E12" i="3"/>
  <c r="E13" i="3"/>
  <c r="E30" i="3"/>
  <c r="E31" i="3"/>
  <c r="E48" i="3"/>
  <c r="E49" i="3"/>
  <c r="E14" i="3"/>
  <c r="E15" i="3"/>
  <c r="E32" i="3"/>
  <c r="E33" i="3"/>
  <c r="E50" i="3"/>
  <c r="E51" i="3"/>
  <c r="E16" i="3"/>
  <c r="E17" i="3"/>
  <c r="E35" i="3"/>
  <c r="E34" i="3"/>
  <c r="E52" i="3"/>
  <c r="E53" i="3"/>
  <c r="E18" i="3"/>
  <c r="E19" i="3"/>
  <c r="E37" i="3"/>
  <c r="E36" i="3"/>
  <c r="E54" i="3"/>
  <c r="E5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C191CD-C3E3-488C-A0CD-4FA3FEB13BC8}" keepAlive="1" name="Query - Overview_SL (2)" description="Connection to the 'Overview_SL (2)' query in the workbook." type="5" refreshedVersion="8" background="1" saveData="1">
    <dbPr connection="Provider=Microsoft.Mashup.OleDb.1;Data Source=$Workbook$;Location=&quot;Overview_SL (2)&quot;;Extended Properties=&quot;&quot;" command="SELECT * FROM [Overview_SL (2)]"/>
  </connection>
  <connection id="2" xr16:uid="{B302A7D7-A11A-441E-82E2-073234C217E7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3" xr16:uid="{F3077552-9D6D-46F4-9182-C90EBB75128C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  <connection id="4" xr16:uid="{CCAE8B05-6CBA-450A-A22A-4B0A48F91BE5}" keepAlive="1" name="Query - Table4 (3)" description="Connection to the 'Table4 (3)' query in the workbook." type="5" refreshedVersion="8" background="1" saveData="1">
    <dbPr connection="Provider=Microsoft.Mashup.OleDb.1;Data Source=$Workbook$;Location=&quot;Table4 (3)&quot;;Extended Properties=&quot;&quot;" command="SELECT * FROM [Table4 (3)]"/>
  </connection>
</connections>
</file>

<file path=xl/sharedStrings.xml><?xml version="1.0" encoding="utf-8"?>
<sst xmlns="http://schemas.openxmlformats.org/spreadsheetml/2006/main" count="191" uniqueCount="25">
  <si>
    <t>Task</t>
  </si>
  <si>
    <t>Feature</t>
  </si>
  <si>
    <t>Model</t>
  </si>
  <si>
    <t>SL</t>
  </si>
  <si>
    <t>QG</t>
  </si>
  <si>
    <t>RG</t>
  </si>
  <si>
    <t>RS</t>
  </si>
  <si>
    <t>Mistral large</t>
  </si>
  <si>
    <t>GPT4.1</t>
  </si>
  <si>
    <t>Source</t>
  </si>
  <si>
    <t>Qwen2.5 7B</t>
  </si>
  <si>
    <t>Qwen2.5 14B</t>
  </si>
  <si>
    <t>Rejected dev</t>
  </si>
  <si>
    <t># Rejected outputs</t>
  </si>
  <si>
    <t>Qwen2.5_7B</t>
  </si>
  <si>
    <t xml:space="preserve">RG </t>
  </si>
  <si>
    <t>%</t>
  </si>
  <si>
    <t>WE</t>
  </si>
  <si>
    <t>Mistral small 24B</t>
  </si>
  <si>
    <t>GPT-OSS 20B</t>
  </si>
  <si>
    <t>Apertus 8B</t>
  </si>
  <si>
    <t>Falcon 7B</t>
  </si>
  <si>
    <t>GEITje 7B</t>
  </si>
  <si>
    <t xml:space="preserve">Mistral large </t>
  </si>
  <si>
    <t>GPT-Oss 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</si>
</sst>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9" fontId="0" fillId="0" borderId="0" xfId="0" applyNumberFormat="1"/>
  </cellXfs>
  <cellStyles count="1">
    <cellStyle name="Normal" xfId="0" builtinId="0"/>
  </cellStyles>
  <dxfs count="10">
    <dxf>
      <numFmt numFmtId="13" formatCode="0%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30264</xdr:colOff>
      <xdr:row>29</xdr:row>
      <xdr:rowOff>20041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4483F3-A3F3-8DE2-37B8-0E648B956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45621" cy="51499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71433</xdr:colOff>
      <xdr:row>28</xdr:row>
      <xdr:rowOff>133509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3DCF18-A05B-2DDB-F4E4-B61F1E51A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22757" cy="51537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293673</xdr:colOff>
      <xdr:row>29</xdr:row>
      <xdr:rowOff>13278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EA81E8-0413-6D93-B300-75C2684E8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211379" cy="52128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133630</xdr:colOff>
      <xdr:row>17</xdr:row>
      <xdr:rowOff>29004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FB5D3B-CFCB-5A82-C483-02D01F013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51336" cy="3077004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A3A5D40-B3B9-49D8-9462-89535F0AB9C6}" autoFormatId="16" applyNumberFormats="0" applyBorderFormats="0" applyFontFormats="0" applyPatternFormats="0" applyAlignmentFormats="0" applyWidthHeightFormats="0">
  <queryTableRefresh nextId="12" unboundColumnsRight="2">
    <queryTableFields count="5">
      <queryTableField id="1" name="Feature" tableColumnId="1"/>
      <queryTableField id="2" name="Task" tableColumnId="2"/>
      <queryTableField id="3" name="Model" tableColumnId="3"/>
      <queryTableField id="10" dataBound="0" tableColumnId="5"/>
      <queryTableField id="11" dataBound="0" tableColumnId="4"/>
    </queryTableFields>
    <queryTableDeletedFields count="1">
      <deletedField name="Rejecte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8B8D82-B4E4-46EC-8177-996ECC730D7C}" name="Table4_14" displayName="Table4_14" ref="A1:E55" tableType="queryTable" totalsRowShown="0" dataDxfId="9">
  <autoFilter ref="A1:E55" xr:uid="{D68B8D82-B4E4-46EC-8177-996ECC730D7C}"/>
  <sortState xmlns:xlrd2="http://schemas.microsoft.com/office/spreadsheetml/2017/richdata2" ref="A2:E55">
    <sortCondition ref="A1:A55"/>
  </sortState>
  <tableColumns count="5">
    <tableColumn id="1" xr3:uid="{70CEB16F-536A-48C4-826C-CFA96483D306}" uniqueName="1" name="Feature" queryTableFieldId="1" dataDxfId="8"/>
    <tableColumn id="2" xr3:uid="{B9CD52A3-C2FA-40CB-95B0-68E0CB74124B}" uniqueName="2" name="Task" queryTableFieldId="2" dataDxfId="7"/>
    <tableColumn id="3" xr3:uid="{C9F04E03-3910-413E-A0AD-66BCE4D37536}" uniqueName="3" name="Model" queryTableFieldId="3" dataDxfId="6"/>
    <tableColumn id="5" xr3:uid="{E7904DBB-EC19-4DEE-834D-9A4E3681F0DB}" uniqueName="5" name="Rejected dev" queryTableFieldId="10" dataDxfId="5"/>
    <tableColumn id="4" xr3:uid="{90C8EFFB-3B77-4329-A9C7-5451BA2A5DCD}" uniqueName="4" name="%" queryTableFieldId="11" dataDxfId="4">
      <calculatedColumnFormula>SUM(Table4_14[[#This Row],[Rejected dev]]/383)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7B9DC5-1374-4A97-892C-B0027CA1A31B}" name="Table42" displayName="Table42" ref="A1:D11" totalsRowShown="0" dataDxfId="3">
  <autoFilter ref="A1:D11" xr:uid="{B67B9DC5-1374-4A97-892C-B0027CA1A31B}"/>
  <sortState xmlns:xlrd2="http://schemas.microsoft.com/office/spreadsheetml/2017/richdata2" ref="A2:D11">
    <sortCondition ref="B1:B11"/>
  </sortState>
  <tableColumns count="4">
    <tableColumn id="1" xr3:uid="{D9EE0043-1FB0-414B-9583-F4EC3C43BC30}" name="Source" dataDxfId="2"/>
    <tableColumn id="2" xr3:uid="{74E0A9C0-48FD-4EA4-B0B6-09A719D9B543}" name="Model" dataDxfId="1"/>
    <tableColumn id="7" xr3:uid="{9F657C22-CC8C-4A1E-9FD5-9D4FE0754163}" name="# Rejected outputs"/>
    <tableColumn id="8" xr3:uid="{8A4FE620-16AE-47C5-BD2A-7EDC367F1CD4}" name="%" dataDxfId="0">
      <calculatedColumnFormula>SUM(Table42[[#This Row],['# Rejected outputs]]/1608)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E9EB-5A65-42A5-82DC-1BD477E2B394}">
  <dimension ref="A1:E55"/>
  <sheetViews>
    <sheetView zoomScale="130" zoomScaleNormal="130" workbookViewId="0">
      <selection activeCell="J13" sqref="J13"/>
    </sheetView>
  </sheetViews>
  <sheetFormatPr defaultRowHeight="14.4" x14ac:dyDescent="0.3"/>
  <cols>
    <col min="1" max="1" width="9.88671875" bestFit="1" customWidth="1"/>
    <col min="2" max="2" width="7.109375" bestFit="1" customWidth="1"/>
    <col min="3" max="3" width="15.77734375" bestFit="1" customWidth="1"/>
    <col min="4" max="4" width="14.6640625" bestFit="1" customWidth="1"/>
    <col min="5" max="5" width="4.77734375" style="4" bestFit="1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12</v>
      </c>
      <c r="E1" s="4" t="s">
        <v>16</v>
      </c>
    </row>
    <row r="2" spans="1:5" x14ac:dyDescent="0.3">
      <c r="A2" s="2" t="s">
        <v>6</v>
      </c>
      <c r="B2" t="s">
        <v>5</v>
      </c>
      <c r="C2" t="s">
        <v>20</v>
      </c>
      <c r="D2">
        <v>88</v>
      </c>
      <c r="E2" s="4">
        <f>SUM(Table4_14[[#This Row],[Rejected dev]]/383)</f>
        <v>0.2297650130548303</v>
      </c>
    </row>
    <row r="3" spans="1:5" x14ac:dyDescent="0.3">
      <c r="A3" s="2" t="s">
        <v>6</v>
      </c>
      <c r="B3" t="s">
        <v>4</v>
      </c>
      <c r="C3" t="s">
        <v>20</v>
      </c>
      <c r="D3">
        <v>18</v>
      </c>
      <c r="E3" s="4">
        <f>SUM(Table4_14[[#This Row],[Rejected dev]]/383)</f>
        <v>4.6997389033942558E-2</v>
      </c>
    </row>
    <row r="4" spans="1:5" x14ac:dyDescent="0.3">
      <c r="A4" s="2" t="s">
        <v>6</v>
      </c>
      <c r="B4" t="s">
        <v>5</v>
      </c>
      <c r="C4" t="s">
        <v>21</v>
      </c>
      <c r="D4">
        <v>26</v>
      </c>
      <c r="E4" s="4">
        <f>SUM(Table4_14[[#This Row],[Rejected dev]]/383)</f>
        <v>6.7885117493472591E-2</v>
      </c>
    </row>
    <row r="5" spans="1:5" x14ac:dyDescent="0.3">
      <c r="A5" s="2" t="s">
        <v>6</v>
      </c>
      <c r="B5" t="s">
        <v>4</v>
      </c>
      <c r="C5" t="s">
        <v>21</v>
      </c>
      <c r="D5">
        <v>22</v>
      </c>
      <c r="E5" s="4">
        <f>SUM(Table4_14[[#This Row],[Rejected dev]]/383)</f>
        <v>5.7441253263707574E-2</v>
      </c>
    </row>
    <row r="6" spans="1:5" x14ac:dyDescent="0.3">
      <c r="A6" s="2" t="s">
        <v>6</v>
      </c>
      <c r="B6" t="s">
        <v>5</v>
      </c>
      <c r="C6" t="s">
        <v>22</v>
      </c>
      <c r="D6">
        <v>47</v>
      </c>
      <c r="E6" s="4">
        <f>SUM(Table4_14[[#This Row],[Rejected dev]]/383)</f>
        <v>0.12271540469973891</v>
      </c>
    </row>
    <row r="7" spans="1:5" x14ac:dyDescent="0.3">
      <c r="A7" s="2" t="s">
        <v>6</v>
      </c>
      <c r="B7" t="s">
        <v>4</v>
      </c>
      <c r="C7" t="s">
        <v>22</v>
      </c>
      <c r="D7">
        <v>13</v>
      </c>
      <c r="E7" s="4">
        <f>SUM(Table4_14[[#This Row],[Rejected dev]]/383)</f>
        <v>3.3942558746736295E-2</v>
      </c>
    </row>
    <row r="8" spans="1:5" x14ac:dyDescent="0.3">
      <c r="A8" s="2" t="s">
        <v>6</v>
      </c>
      <c r="B8" t="s">
        <v>4</v>
      </c>
      <c r="C8" t="s">
        <v>8</v>
      </c>
      <c r="D8">
        <v>0</v>
      </c>
      <c r="E8" s="4">
        <f>SUM(Table4_14[[#This Row],[Rejected dev]]/383)</f>
        <v>0</v>
      </c>
    </row>
    <row r="9" spans="1:5" x14ac:dyDescent="0.3">
      <c r="A9" s="2" t="s">
        <v>6</v>
      </c>
      <c r="B9" t="s">
        <v>5</v>
      </c>
      <c r="C9" t="s">
        <v>8</v>
      </c>
      <c r="D9">
        <v>0</v>
      </c>
      <c r="E9" s="4">
        <f>SUM(Table4_14[[#This Row],[Rejected dev]]/383)</f>
        <v>0</v>
      </c>
    </row>
    <row r="10" spans="1:5" x14ac:dyDescent="0.3">
      <c r="A10" s="2" t="s">
        <v>6</v>
      </c>
      <c r="B10" t="s">
        <v>5</v>
      </c>
      <c r="C10" t="s">
        <v>19</v>
      </c>
      <c r="D10">
        <v>6</v>
      </c>
      <c r="E10" s="4">
        <f>SUM(Table4_14[[#This Row],[Rejected dev]]/383)</f>
        <v>1.5665796344647518E-2</v>
      </c>
    </row>
    <row r="11" spans="1:5" x14ac:dyDescent="0.3">
      <c r="A11" s="2" t="s">
        <v>6</v>
      </c>
      <c r="B11" t="s">
        <v>4</v>
      </c>
      <c r="C11" t="s">
        <v>19</v>
      </c>
      <c r="D11">
        <v>1</v>
      </c>
      <c r="E11" s="4">
        <f>SUM(Table4_14[[#This Row],[Rejected dev]]/383)</f>
        <v>2.6109660574412533E-3</v>
      </c>
    </row>
    <row r="12" spans="1:5" x14ac:dyDescent="0.3">
      <c r="A12" s="2" t="s">
        <v>6</v>
      </c>
      <c r="B12" t="s">
        <v>4</v>
      </c>
      <c r="C12" t="s">
        <v>7</v>
      </c>
      <c r="D12">
        <v>0</v>
      </c>
      <c r="E12" s="4">
        <f>SUM(Table4_14[[#This Row],[Rejected dev]]/383)</f>
        <v>0</v>
      </c>
    </row>
    <row r="13" spans="1:5" x14ac:dyDescent="0.3">
      <c r="A13" s="2" t="s">
        <v>6</v>
      </c>
      <c r="B13" t="s">
        <v>5</v>
      </c>
      <c r="C13" t="s">
        <v>7</v>
      </c>
      <c r="D13">
        <v>0</v>
      </c>
      <c r="E13" s="4">
        <f>SUM(Table4_14[[#This Row],[Rejected dev]]/383)</f>
        <v>0</v>
      </c>
    </row>
    <row r="14" spans="1:5" x14ac:dyDescent="0.3">
      <c r="A14" s="2" t="s">
        <v>6</v>
      </c>
      <c r="B14" t="s">
        <v>4</v>
      </c>
      <c r="C14" t="s">
        <v>18</v>
      </c>
      <c r="D14">
        <v>0</v>
      </c>
      <c r="E14" s="4">
        <f>SUM(Table4_14[[#This Row],[Rejected dev]]/383)</f>
        <v>0</v>
      </c>
    </row>
    <row r="15" spans="1:5" x14ac:dyDescent="0.3">
      <c r="A15" s="2" t="s">
        <v>6</v>
      </c>
      <c r="B15" t="s">
        <v>5</v>
      </c>
      <c r="C15" t="s">
        <v>18</v>
      </c>
      <c r="D15">
        <v>0</v>
      </c>
      <c r="E15" s="4">
        <f>SUM(Table4_14[[#This Row],[Rejected dev]]/383)</f>
        <v>0</v>
      </c>
    </row>
    <row r="16" spans="1:5" x14ac:dyDescent="0.3">
      <c r="A16" s="2" t="s">
        <v>6</v>
      </c>
      <c r="B16" t="s">
        <v>4</v>
      </c>
      <c r="C16" t="s">
        <v>11</v>
      </c>
      <c r="D16">
        <v>51</v>
      </c>
      <c r="E16" s="4">
        <f>SUM(Table4_14[[#This Row],[Rejected dev]]/383)</f>
        <v>0.13315926892950392</v>
      </c>
    </row>
    <row r="17" spans="1:5" x14ac:dyDescent="0.3">
      <c r="A17" s="2" t="s">
        <v>6</v>
      </c>
      <c r="B17" t="s">
        <v>5</v>
      </c>
      <c r="C17" t="s">
        <v>11</v>
      </c>
      <c r="D17">
        <v>4</v>
      </c>
      <c r="E17" s="4">
        <f>SUM(Table4_14[[#This Row],[Rejected dev]]/383)</f>
        <v>1.0443864229765013E-2</v>
      </c>
    </row>
    <row r="18" spans="1:5" x14ac:dyDescent="0.3">
      <c r="A18" s="2" t="s">
        <v>6</v>
      </c>
      <c r="B18" t="s">
        <v>5</v>
      </c>
      <c r="C18" t="s">
        <v>10</v>
      </c>
      <c r="D18">
        <v>8</v>
      </c>
      <c r="E18" s="4">
        <f>SUM(Table4_14[[#This Row],[Rejected dev]]/383)</f>
        <v>2.0887728459530026E-2</v>
      </c>
    </row>
    <row r="19" spans="1:5" x14ac:dyDescent="0.3">
      <c r="A19" s="2" t="s">
        <v>6</v>
      </c>
      <c r="B19" t="s">
        <v>4</v>
      </c>
      <c r="C19" t="s">
        <v>10</v>
      </c>
      <c r="D19">
        <v>3</v>
      </c>
      <c r="E19" s="4">
        <f>SUM(Table4_14[[#This Row],[Rejected dev]]/383)</f>
        <v>7.832898172323759E-3</v>
      </c>
    </row>
    <row r="20" spans="1:5" x14ac:dyDescent="0.3">
      <c r="A20" s="3" t="s">
        <v>3</v>
      </c>
      <c r="B20" t="s">
        <v>5</v>
      </c>
      <c r="C20" t="s">
        <v>20</v>
      </c>
      <c r="D20">
        <v>85</v>
      </c>
      <c r="E20" s="4">
        <f>SUM(Table4_14[[#This Row],[Rejected dev]]/383)</f>
        <v>0.22193211488250653</v>
      </c>
    </row>
    <row r="21" spans="1:5" x14ac:dyDescent="0.3">
      <c r="A21" s="3" t="s">
        <v>3</v>
      </c>
      <c r="B21" t="s">
        <v>4</v>
      </c>
      <c r="C21" t="s">
        <v>20</v>
      </c>
      <c r="D21">
        <v>23</v>
      </c>
      <c r="E21" s="4">
        <f>SUM(Table4_14[[#This Row],[Rejected dev]]/383)</f>
        <v>6.0052219321148827E-2</v>
      </c>
    </row>
    <row r="22" spans="1:5" x14ac:dyDescent="0.3">
      <c r="A22" s="3" t="s">
        <v>3</v>
      </c>
      <c r="B22" t="s">
        <v>5</v>
      </c>
      <c r="C22" t="s">
        <v>21</v>
      </c>
      <c r="D22">
        <v>38</v>
      </c>
      <c r="E22" s="4">
        <f>SUM(Table4_14[[#This Row],[Rejected dev]]/383)</f>
        <v>9.921671018276762E-2</v>
      </c>
    </row>
    <row r="23" spans="1:5" x14ac:dyDescent="0.3">
      <c r="A23" s="3" t="s">
        <v>3</v>
      </c>
      <c r="B23" t="s">
        <v>4</v>
      </c>
      <c r="C23" t="s">
        <v>21</v>
      </c>
      <c r="D23">
        <v>25</v>
      </c>
      <c r="E23" s="4">
        <f>SUM(Table4_14[[#This Row],[Rejected dev]]/383)</f>
        <v>6.5274151436031339E-2</v>
      </c>
    </row>
    <row r="24" spans="1:5" x14ac:dyDescent="0.3">
      <c r="A24" s="3" t="s">
        <v>3</v>
      </c>
      <c r="B24" t="s">
        <v>5</v>
      </c>
      <c r="C24" t="s">
        <v>22</v>
      </c>
      <c r="D24">
        <v>70</v>
      </c>
      <c r="E24" s="4">
        <f>SUM(Table4_14[[#This Row],[Rejected dev]]/383)</f>
        <v>0.18276762402088773</v>
      </c>
    </row>
    <row r="25" spans="1:5" x14ac:dyDescent="0.3">
      <c r="A25" s="3" t="s">
        <v>3</v>
      </c>
      <c r="B25" t="s">
        <v>4</v>
      </c>
      <c r="C25" t="s">
        <v>22</v>
      </c>
      <c r="D25">
        <v>5</v>
      </c>
      <c r="E25" s="4">
        <f>SUM(Table4_14[[#This Row],[Rejected dev]]/383)</f>
        <v>1.3054830287206266E-2</v>
      </c>
    </row>
    <row r="26" spans="1:5" x14ac:dyDescent="0.3">
      <c r="A26" s="3" t="s">
        <v>3</v>
      </c>
      <c r="B26" t="s">
        <v>4</v>
      </c>
      <c r="C26" t="s">
        <v>8</v>
      </c>
      <c r="D26">
        <v>0</v>
      </c>
      <c r="E26" s="4">
        <f>SUM(Table4_14[[#This Row],[Rejected dev]]/383)</f>
        <v>0</v>
      </c>
    </row>
    <row r="27" spans="1:5" x14ac:dyDescent="0.3">
      <c r="A27" s="3" t="s">
        <v>3</v>
      </c>
      <c r="B27" t="s">
        <v>5</v>
      </c>
      <c r="C27" t="s">
        <v>8</v>
      </c>
      <c r="D27">
        <v>0</v>
      </c>
      <c r="E27" s="4">
        <f>SUM(Table4_14[[#This Row],[Rejected dev]]/383)</f>
        <v>0</v>
      </c>
    </row>
    <row r="28" spans="1:5" x14ac:dyDescent="0.3">
      <c r="A28" s="3" t="s">
        <v>3</v>
      </c>
      <c r="B28" t="s">
        <v>5</v>
      </c>
      <c r="C28" t="s">
        <v>19</v>
      </c>
      <c r="D28">
        <v>52</v>
      </c>
      <c r="E28" s="4">
        <f>SUM(Table4_14[[#This Row],[Rejected dev]]/383)</f>
        <v>0.13577023498694518</v>
      </c>
    </row>
    <row r="29" spans="1:5" x14ac:dyDescent="0.3">
      <c r="A29" s="3" t="s">
        <v>3</v>
      </c>
      <c r="B29" t="s">
        <v>4</v>
      </c>
      <c r="C29" t="s">
        <v>19</v>
      </c>
      <c r="D29">
        <v>0</v>
      </c>
      <c r="E29" s="4">
        <f>SUM(Table4_14[[#This Row],[Rejected dev]]/383)</f>
        <v>0</v>
      </c>
    </row>
    <row r="30" spans="1:5" x14ac:dyDescent="0.3">
      <c r="A30" s="3" t="s">
        <v>3</v>
      </c>
      <c r="B30" t="s">
        <v>5</v>
      </c>
      <c r="C30" t="s">
        <v>7</v>
      </c>
      <c r="D30">
        <v>0</v>
      </c>
      <c r="E30" s="4">
        <f>SUM(Table4_14[[#This Row],[Rejected dev]]/383)</f>
        <v>0</v>
      </c>
    </row>
    <row r="31" spans="1:5" x14ac:dyDescent="0.3">
      <c r="A31" s="3" t="s">
        <v>3</v>
      </c>
      <c r="B31" t="s">
        <v>4</v>
      </c>
      <c r="C31" t="s">
        <v>7</v>
      </c>
      <c r="D31">
        <v>0</v>
      </c>
      <c r="E31" s="4">
        <f>SUM(Table4_14[[#This Row],[Rejected dev]]/383)</f>
        <v>0</v>
      </c>
    </row>
    <row r="32" spans="1:5" x14ac:dyDescent="0.3">
      <c r="A32" s="3" t="s">
        <v>3</v>
      </c>
      <c r="B32" t="s">
        <v>5</v>
      </c>
      <c r="C32" t="s">
        <v>18</v>
      </c>
      <c r="D32">
        <v>45</v>
      </c>
      <c r="E32" s="4">
        <f>SUM(Table4_14[[#This Row],[Rejected dev]]/383)</f>
        <v>0.1174934725848564</v>
      </c>
    </row>
    <row r="33" spans="1:5" x14ac:dyDescent="0.3">
      <c r="A33" s="3" t="s">
        <v>3</v>
      </c>
      <c r="B33" t="s">
        <v>4</v>
      </c>
      <c r="C33" t="s">
        <v>18</v>
      </c>
      <c r="D33">
        <v>0</v>
      </c>
      <c r="E33" s="4">
        <f>SUM(Table4_14[[#This Row],[Rejected dev]]/383)</f>
        <v>0</v>
      </c>
    </row>
    <row r="34" spans="1:5" x14ac:dyDescent="0.3">
      <c r="A34" s="3" t="s">
        <v>3</v>
      </c>
      <c r="B34" t="s">
        <v>5</v>
      </c>
      <c r="C34" t="s">
        <v>11</v>
      </c>
      <c r="D34">
        <v>77</v>
      </c>
      <c r="E34" s="4">
        <f>SUM(Table4_14[[#This Row],[Rejected dev]]/383)</f>
        <v>0.20104438642297651</v>
      </c>
    </row>
    <row r="35" spans="1:5" x14ac:dyDescent="0.3">
      <c r="A35" s="3" t="s">
        <v>3</v>
      </c>
      <c r="B35" t="s">
        <v>4</v>
      </c>
      <c r="C35" t="s">
        <v>11</v>
      </c>
      <c r="D35">
        <v>34</v>
      </c>
      <c r="E35" s="4">
        <f>SUM(Table4_14[[#This Row],[Rejected dev]]/383)</f>
        <v>8.877284595300261E-2</v>
      </c>
    </row>
    <row r="36" spans="1:5" x14ac:dyDescent="0.3">
      <c r="A36" s="3" t="s">
        <v>3</v>
      </c>
      <c r="B36" t="s">
        <v>5</v>
      </c>
      <c r="C36" t="s">
        <v>10</v>
      </c>
      <c r="D36">
        <v>10</v>
      </c>
      <c r="E36" s="4">
        <f>SUM(Table4_14[[#This Row],[Rejected dev]]/383)</f>
        <v>2.6109660574412531E-2</v>
      </c>
    </row>
    <row r="37" spans="1:5" x14ac:dyDescent="0.3">
      <c r="A37" s="3" t="s">
        <v>3</v>
      </c>
      <c r="B37" t="s">
        <v>4</v>
      </c>
      <c r="C37" t="s">
        <v>10</v>
      </c>
      <c r="D37">
        <v>2</v>
      </c>
      <c r="E37" s="4">
        <f>SUM(Table4_14[[#This Row],[Rejected dev]]/383)</f>
        <v>5.2219321148825066E-3</v>
      </c>
    </row>
    <row r="38" spans="1:5" x14ac:dyDescent="0.3">
      <c r="A38" t="s">
        <v>17</v>
      </c>
      <c r="B38" t="s">
        <v>5</v>
      </c>
      <c r="C38" t="s">
        <v>20</v>
      </c>
      <c r="D38">
        <v>72</v>
      </c>
      <c r="E38" s="4">
        <f>SUM(Table4_14[[#This Row],[Rejected dev]]/383)</f>
        <v>0.18798955613577023</v>
      </c>
    </row>
    <row r="39" spans="1:5" x14ac:dyDescent="0.3">
      <c r="A39" t="s">
        <v>17</v>
      </c>
      <c r="B39" t="s">
        <v>4</v>
      </c>
      <c r="C39" t="s">
        <v>20</v>
      </c>
      <c r="D39">
        <v>15</v>
      </c>
      <c r="E39" s="4">
        <f>SUM(Table4_14[[#This Row],[Rejected dev]]/383)</f>
        <v>3.91644908616188E-2</v>
      </c>
    </row>
    <row r="40" spans="1:5" x14ac:dyDescent="0.3">
      <c r="A40" t="s">
        <v>17</v>
      </c>
      <c r="B40" t="s">
        <v>4</v>
      </c>
      <c r="C40" t="s">
        <v>21</v>
      </c>
      <c r="D40">
        <v>24</v>
      </c>
      <c r="E40" s="4">
        <f>SUM(Table4_14[[#This Row],[Rejected dev]]/383)</f>
        <v>6.2663185378590072E-2</v>
      </c>
    </row>
    <row r="41" spans="1:5" x14ac:dyDescent="0.3">
      <c r="A41" t="s">
        <v>17</v>
      </c>
      <c r="B41" t="s">
        <v>5</v>
      </c>
      <c r="C41" t="s">
        <v>21</v>
      </c>
      <c r="D41">
        <v>24</v>
      </c>
      <c r="E41" s="4">
        <f>SUM(Table4_14[[#This Row],[Rejected dev]]/383)</f>
        <v>6.2663185378590072E-2</v>
      </c>
    </row>
    <row r="42" spans="1:5" x14ac:dyDescent="0.3">
      <c r="A42" t="s">
        <v>17</v>
      </c>
      <c r="B42" t="s">
        <v>5</v>
      </c>
      <c r="C42" t="s">
        <v>22</v>
      </c>
      <c r="D42">
        <v>76</v>
      </c>
      <c r="E42" s="4">
        <f>SUM(Table4_14[[#This Row],[Rejected dev]]/383)</f>
        <v>0.19843342036553524</v>
      </c>
    </row>
    <row r="43" spans="1:5" x14ac:dyDescent="0.3">
      <c r="A43" t="s">
        <v>17</v>
      </c>
      <c r="B43" t="s">
        <v>4</v>
      </c>
      <c r="C43" t="s">
        <v>22</v>
      </c>
      <c r="D43">
        <v>21</v>
      </c>
      <c r="E43" s="4">
        <f>SUM(Table4_14[[#This Row],[Rejected dev]]/383)</f>
        <v>5.4830287206266322E-2</v>
      </c>
    </row>
    <row r="44" spans="1:5" x14ac:dyDescent="0.3">
      <c r="A44" t="s">
        <v>17</v>
      </c>
      <c r="B44" t="s">
        <v>4</v>
      </c>
      <c r="C44" t="s">
        <v>8</v>
      </c>
      <c r="D44">
        <v>0</v>
      </c>
      <c r="E44" s="4">
        <f>SUM(Table4_14[[#This Row],[Rejected dev]]/383)</f>
        <v>0</v>
      </c>
    </row>
    <row r="45" spans="1:5" x14ac:dyDescent="0.3">
      <c r="A45" t="s">
        <v>17</v>
      </c>
      <c r="B45" t="s">
        <v>5</v>
      </c>
      <c r="C45" t="s">
        <v>8</v>
      </c>
      <c r="D45">
        <v>0</v>
      </c>
      <c r="E45" s="4">
        <f>SUM(Table4_14[[#This Row],[Rejected dev]]/383)</f>
        <v>0</v>
      </c>
    </row>
    <row r="46" spans="1:5" x14ac:dyDescent="0.3">
      <c r="A46" t="s">
        <v>17</v>
      </c>
      <c r="B46" t="s">
        <v>5</v>
      </c>
      <c r="C46" t="s">
        <v>19</v>
      </c>
      <c r="D46">
        <v>9</v>
      </c>
      <c r="E46" s="4">
        <f>SUM(Table4_14[[#This Row],[Rejected dev]]/383)</f>
        <v>2.3498694516971279E-2</v>
      </c>
    </row>
    <row r="47" spans="1:5" x14ac:dyDescent="0.3">
      <c r="A47" t="s">
        <v>17</v>
      </c>
      <c r="B47" t="s">
        <v>4</v>
      </c>
      <c r="C47" t="s">
        <v>19</v>
      </c>
      <c r="D47">
        <v>2</v>
      </c>
      <c r="E47" s="4">
        <f>SUM(Table4_14[[#This Row],[Rejected dev]]/383)</f>
        <v>5.2219321148825066E-3</v>
      </c>
    </row>
    <row r="48" spans="1:5" x14ac:dyDescent="0.3">
      <c r="A48" t="s">
        <v>17</v>
      </c>
      <c r="B48" t="s">
        <v>4</v>
      </c>
      <c r="C48" t="s">
        <v>7</v>
      </c>
      <c r="D48">
        <v>0</v>
      </c>
      <c r="E48" s="4">
        <f>SUM(Table4_14[[#This Row],[Rejected dev]]/383)</f>
        <v>0</v>
      </c>
    </row>
    <row r="49" spans="1:5" x14ac:dyDescent="0.3">
      <c r="A49" t="s">
        <v>17</v>
      </c>
      <c r="B49" t="s">
        <v>5</v>
      </c>
      <c r="C49" t="s">
        <v>7</v>
      </c>
      <c r="D49">
        <v>0</v>
      </c>
      <c r="E49" s="4">
        <f>SUM(Table4_14[[#This Row],[Rejected dev]]/383)</f>
        <v>0</v>
      </c>
    </row>
    <row r="50" spans="1:5" x14ac:dyDescent="0.3">
      <c r="A50" t="s">
        <v>17</v>
      </c>
      <c r="B50" t="s">
        <v>4</v>
      </c>
      <c r="C50" t="s">
        <v>18</v>
      </c>
      <c r="D50">
        <v>0</v>
      </c>
      <c r="E50" s="4">
        <f>SUM(Table4_14[[#This Row],[Rejected dev]]/383)</f>
        <v>0</v>
      </c>
    </row>
    <row r="51" spans="1:5" x14ac:dyDescent="0.3">
      <c r="A51" t="s">
        <v>17</v>
      </c>
      <c r="B51" t="s">
        <v>5</v>
      </c>
      <c r="C51" t="s">
        <v>18</v>
      </c>
      <c r="D51">
        <v>0</v>
      </c>
      <c r="E51" s="4">
        <f>SUM(Table4_14[[#This Row],[Rejected dev]]/383)</f>
        <v>0</v>
      </c>
    </row>
    <row r="52" spans="1:5" x14ac:dyDescent="0.3">
      <c r="A52" t="s">
        <v>17</v>
      </c>
      <c r="B52" t="s">
        <v>4</v>
      </c>
      <c r="C52" t="s">
        <v>11</v>
      </c>
      <c r="D52">
        <v>33</v>
      </c>
      <c r="E52" s="4">
        <f>SUM(Table4_14[[#This Row],[Rejected dev]]/383)</f>
        <v>8.6161879895561358E-2</v>
      </c>
    </row>
    <row r="53" spans="1:5" x14ac:dyDescent="0.3">
      <c r="A53" t="s">
        <v>17</v>
      </c>
      <c r="B53" t="s">
        <v>5</v>
      </c>
      <c r="C53" t="s">
        <v>11</v>
      </c>
      <c r="D53">
        <v>11</v>
      </c>
      <c r="E53" s="4">
        <f>SUM(Table4_14[[#This Row],[Rejected dev]]/383)</f>
        <v>2.8720626631853787E-2</v>
      </c>
    </row>
    <row r="54" spans="1:5" x14ac:dyDescent="0.3">
      <c r="A54" t="s">
        <v>17</v>
      </c>
      <c r="B54" t="s">
        <v>5</v>
      </c>
      <c r="C54" t="s">
        <v>10</v>
      </c>
      <c r="D54">
        <v>12</v>
      </c>
      <c r="E54" s="4">
        <f>SUM(Table4_14[[#This Row],[Rejected dev]]/383)</f>
        <v>3.1331592689295036E-2</v>
      </c>
    </row>
    <row r="55" spans="1:5" x14ac:dyDescent="0.3">
      <c r="A55" t="s">
        <v>17</v>
      </c>
      <c r="B55" t="s">
        <v>4</v>
      </c>
      <c r="C55" t="s">
        <v>10</v>
      </c>
      <c r="D55">
        <v>4</v>
      </c>
      <c r="E55" s="4">
        <f>SUM(Table4_14[[#This Row],[Rejected dev]]/383)</f>
        <v>1.0443864229765013E-2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D7A3-CF9C-431A-93E7-9D1FBA7E0DD5}">
  <dimension ref="E2:F14"/>
  <sheetViews>
    <sheetView zoomScale="70" zoomScaleNormal="70" workbookViewId="0">
      <selection activeCell="D35" sqref="D35"/>
    </sheetView>
  </sheetViews>
  <sheetFormatPr defaultRowHeight="14.4" x14ac:dyDescent="0.3"/>
  <cols>
    <col min="1" max="1" width="9" bestFit="1" customWidth="1"/>
    <col min="2" max="2" width="16.77734375" bestFit="1" customWidth="1"/>
    <col min="3" max="3" width="29.21875" bestFit="1" customWidth="1"/>
    <col min="4" max="4" width="30.5546875" bestFit="1" customWidth="1"/>
    <col min="5" max="5" width="27.33203125" bestFit="1" customWidth="1"/>
    <col min="6" max="6" width="28.77734375" bestFit="1" customWidth="1"/>
  </cols>
  <sheetData>
    <row r="2" spans="5:6" x14ac:dyDescent="0.3">
      <c r="E2" s="1"/>
      <c r="F2" s="1"/>
    </row>
    <row r="10" spans="5:6" x14ac:dyDescent="0.3">
      <c r="E10" s="1"/>
      <c r="F10" s="1"/>
    </row>
    <row r="13" spans="5:6" x14ac:dyDescent="0.3">
      <c r="E13" s="1"/>
      <c r="F13" s="1"/>
    </row>
    <row r="14" spans="5:6" x14ac:dyDescent="0.3">
      <c r="E14" s="1"/>
      <c r="F14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97A6-B816-47F6-8AFE-7B8734E39C50}">
  <dimension ref="E2:F14"/>
  <sheetViews>
    <sheetView zoomScale="85" zoomScaleNormal="85" workbookViewId="0"/>
  </sheetViews>
  <sheetFormatPr defaultRowHeight="14.4" x14ac:dyDescent="0.3"/>
  <cols>
    <col min="1" max="1" width="10.6640625" bestFit="1" customWidth="1"/>
    <col min="2" max="2" width="13.44140625" customWidth="1"/>
    <col min="3" max="3" width="27.77734375" customWidth="1"/>
    <col min="4" max="4" width="28.88671875" customWidth="1"/>
    <col min="5" max="5" width="25.5546875" customWidth="1"/>
    <col min="6" max="6" width="26.6640625" customWidth="1"/>
  </cols>
  <sheetData>
    <row r="2" spans="5:6" x14ac:dyDescent="0.3">
      <c r="E2" s="1"/>
      <c r="F2" s="1"/>
    </row>
    <row r="13" spans="5:6" x14ac:dyDescent="0.3">
      <c r="E13" s="1"/>
      <c r="F13" s="1"/>
    </row>
    <row r="14" spans="5:6" x14ac:dyDescent="0.3">
      <c r="E14" s="1"/>
      <c r="F14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69D8-F07D-4ECF-8FA8-F34E093F0335}">
  <dimension ref="A1"/>
  <sheetViews>
    <sheetView zoomScale="85" zoomScaleNormal="85" workbookViewId="0">
      <selection activeCell="L16" sqref="L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7663-6D2B-485E-B892-C4F536072364}">
  <dimension ref="A1:D11"/>
  <sheetViews>
    <sheetView zoomScale="130" zoomScaleNormal="130" workbookViewId="0">
      <selection activeCell="C8" sqref="C8"/>
    </sheetView>
  </sheetViews>
  <sheetFormatPr defaultRowHeight="14.4" x14ac:dyDescent="0.3"/>
  <cols>
    <col min="1" max="1" width="9.33203125" bestFit="1" customWidth="1"/>
    <col min="2" max="2" width="17.44140625" bestFit="1" customWidth="1"/>
    <col min="3" max="3" width="20" bestFit="1" customWidth="1"/>
    <col min="4" max="4" width="4.77734375" style="4" bestFit="1" customWidth="1"/>
    <col min="5" max="5" width="30.5546875" bestFit="1" customWidth="1"/>
    <col min="6" max="6" width="27.33203125" bestFit="1" customWidth="1"/>
    <col min="7" max="7" width="28.77734375" bestFit="1" customWidth="1"/>
    <col min="8" max="8" width="19.33203125" customWidth="1"/>
  </cols>
  <sheetData>
    <row r="1" spans="1:4" x14ac:dyDescent="0.3">
      <c r="A1" t="s">
        <v>9</v>
      </c>
      <c r="B1" t="s">
        <v>2</v>
      </c>
      <c r="C1" t="s">
        <v>13</v>
      </c>
      <c r="D1" s="4" t="s">
        <v>16</v>
      </c>
    </row>
    <row r="2" spans="1:4" x14ac:dyDescent="0.3">
      <c r="A2" t="s">
        <v>4</v>
      </c>
      <c r="B2" t="s">
        <v>8</v>
      </c>
      <c r="C2">
        <v>0</v>
      </c>
      <c r="D2" s="4">
        <f>SUM(Table42[[#This Row],['# Rejected outputs]]/1608)</f>
        <v>0</v>
      </c>
    </row>
    <row r="3" spans="1:4" x14ac:dyDescent="0.3">
      <c r="A3" t="s">
        <v>15</v>
      </c>
      <c r="B3" t="s">
        <v>8</v>
      </c>
      <c r="C3">
        <v>0</v>
      </c>
      <c r="D3" s="4">
        <f>SUM(Table42[[#This Row],['# Rejected outputs]]/1608)</f>
        <v>0</v>
      </c>
    </row>
    <row r="4" spans="1:4" x14ac:dyDescent="0.3">
      <c r="A4" t="s">
        <v>5</v>
      </c>
      <c r="B4" t="s">
        <v>24</v>
      </c>
      <c r="C4">
        <v>379</v>
      </c>
      <c r="D4" s="4">
        <f>SUM(Table42[[#This Row],['# Rejected outputs]]/1608)</f>
        <v>0.23569651741293532</v>
      </c>
    </row>
    <row r="5" spans="1:4" x14ac:dyDescent="0.3">
      <c r="A5" t="s">
        <v>4</v>
      </c>
      <c r="B5" t="s">
        <v>24</v>
      </c>
      <c r="C5">
        <v>0</v>
      </c>
      <c r="D5" s="4">
        <f>SUM(Table42[[#This Row],['# Rejected outputs]]/1608)</f>
        <v>0</v>
      </c>
    </row>
    <row r="6" spans="1:4" x14ac:dyDescent="0.3">
      <c r="A6" t="s">
        <v>5</v>
      </c>
      <c r="B6" t="s">
        <v>7</v>
      </c>
      <c r="C6">
        <v>78</v>
      </c>
      <c r="D6" s="4">
        <f>SUM(Table42[[#This Row],['# Rejected outputs]]/1608)</f>
        <v>4.8507462686567165E-2</v>
      </c>
    </row>
    <row r="7" spans="1:4" x14ac:dyDescent="0.3">
      <c r="A7" t="s">
        <v>4</v>
      </c>
      <c r="B7" t="s">
        <v>23</v>
      </c>
      <c r="C7">
        <v>0</v>
      </c>
      <c r="D7" s="4">
        <f>SUM(Table42[[#This Row],['# Rejected outputs]]/1608)</f>
        <v>0</v>
      </c>
    </row>
    <row r="8" spans="1:4" x14ac:dyDescent="0.3">
      <c r="A8" t="s">
        <v>4</v>
      </c>
      <c r="B8" t="s">
        <v>18</v>
      </c>
      <c r="C8">
        <v>0</v>
      </c>
      <c r="D8" s="4">
        <f>SUM(Table42[[#This Row],['# Rejected outputs]]/1608)</f>
        <v>0</v>
      </c>
    </row>
    <row r="9" spans="1:4" x14ac:dyDescent="0.3">
      <c r="A9" t="s">
        <v>5</v>
      </c>
      <c r="B9" t="s">
        <v>18</v>
      </c>
      <c r="C9">
        <v>26</v>
      </c>
      <c r="D9" s="4">
        <f>SUM(Table42[[#This Row],['# Rejected outputs]]/1608)</f>
        <v>1.6169154228855721E-2</v>
      </c>
    </row>
    <row r="10" spans="1:4" x14ac:dyDescent="0.3">
      <c r="A10" t="s">
        <v>4</v>
      </c>
      <c r="B10" t="s">
        <v>14</v>
      </c>
      <c r="C10">
        <v>17</v>
      </c>
      <c r="D10" s="4">
        <f>SUM(Table42[[#This Row],['# Rejected outputs]]/1608)</f>
        <v>1.0572139303482588E-2</v>
      </c>
    </row>
    <row r="11" spans="1:4" x14ac:dyDescent="0.3">
      <c r="A11" t="s">
        <v>5</v>
      </c>
      <c r="B11" t="s">
        <v>14</v>
      </c>
      <c r="C11">
        <v>16</v>
      </c>
      <c r="D11" s="4">
        <f>SUM(Table42[[#This Row],['# Rejected outputs]]/1608)</f>
        <v>9.9502487562189053E-3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A37D-2D96-4BF5-8E68-4303C2E83620}">
  <dimension ref="A1"/>
  <sheetViews>
    <sheetView tabSelected="1" zoomScale="85" zoomScaleNormal="85" workbookViewId="0">
      <selection activeCell="L20" sqref="L20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DBE8EF-B09C-45C2-8D60-45A70EF7B8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Rejected outputs_NL</vt:lpstr>
      <vt:lpstr>SL_NL</vt:lpstr>
      <vt:lpstr>RS_NL</vt:lpstr>
      <vt:lpstr>WE_NL</vt:lpstr>
      <vt:lpstr>Rejected outputs_NL COMB</vt:lpstr>
      <vt:lpstr>COMB_NL</vt:lpstr>
    </vt:vector>
  </TitlesOfParts>
  <Company>Radboud University Nijmegen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Schaaij, K. (Keara)</dc:creator>
  <cp:lastModifiedBy>Schaaij, K. (Keara)</cp:lastModifiedBy>
  <dcterms:created xsi:type="dcterms:W3CDTF">2025-10-06T12:31:31Z</dcterms:created>
  <dcterms:modified xsi:type="dcterms:W3CDTF">2026-10-21T10:11:39Z</dcterms:modified>
</cp:coreProperties>
</file>